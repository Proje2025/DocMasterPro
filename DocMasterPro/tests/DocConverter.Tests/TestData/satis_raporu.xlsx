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tışlar" sheetId="1" state="visible" r:id="rId1"/>
    <sheet xmlns:r="http://schemas.openxmlformats.org/officeDocument/2006/relationships" name="Notlar"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0.00 &quot;₺&quot;"/>
    <numFmt numFmtId="166" formatCode="DD.MM.YYYY"/>
  </numFmts>
  <fonts count="3">
    <font>
      <name val="Calibri"/>
      <family val="2"/>
      <color theme="1"/>
      <sz val="11"/>
      <scheme val="minor"/>
    </font>
    <font>
      <b val="1"/>
      <color rgb="00FFFFFF"/>
      <sz val="16"/>
    </font>
    <font>
      <b val="1"/>
    </font>
  </fonts>
  <fills count="4">
    <fill>
      <patternFill/>
    </fill>
    <fill>
      <patternFill patternType="gray125"/>
    </fill>
    <fill>
      <patternFill patternType="solid">
        <fgColor rgb="002563EB"/>
      </patternFill>
    </fill>
    <fill>
      <patternFill patternType="solid">
        <fgColor rgb="00DBEAFE"/>
      </patternFill>
    </fill>
  </fills>
  <borders count="2">
    <border>
      <left/>
      <right/>
      <top/>
      <bottom/>
      <diagonal/>
    </border>
    <border>
      <left style="thin">
        <color rgb="0094A3B8"/>
      </left>
      <right style="thin">
        <color rgb="0094A3B8"/>
      </right>
      <top style="thin">
        <color rgb="0094A3B8"/>
      </top>
      <bottom style="thin">
        <color rgb="0094A3B8"/>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2" fillId="3" borderId="1" pivotButton="0" quotePrefix="0" xfId="0"/>
    <xf numFmtId="0" fontId="0" fillId="0" borderId="1" pivotButton="0" quotePrefix="0" xfId="0"/>
    <xf numFmtId="165" fontId="0" fillId="0" borderId="1" pivotButton="0" quotePrefix="0" xfId="0"/>
    <xf numFmtId="166" fontId="0" fillId="0" borderId="1" pivotButton="0" quotePrefix="0" xfId="0"/>
    <xf numFmtId="0" fontId="2" fillId="0" borderId="0" pivotButton="0" quotePrefix="0" xfId="0"/>
    <xf numFmtId="165"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Aylık Adet</a:t>
            </a:r>
          </a:p>
        </rich>
      </tx>
    </title>
    <plotArea>
      <barChart>
        <barDir val="col"/>
        <grouping val="clustered"/>
        <ser>
          <idx val="0"/>
          <order val="0"/>
          <tx>
            <strRef>
              <f>'Satışlar'!C3</f>
            </strRef>
          </tx>
          <spPr>
            <a:ln xmlns:a="http://schemas.openxmlformats.org/drawingml/2006/main">
              <a:prstDash val="solid"/>
            </a:ln>
          </spPr>
          <cat>
            <numRef>
              <f>'Satışlar'!$A$4:$A$15</f>
            </numRef>
          </cat>
          <val>
            <numRef>
              <f>'Satışlar'!$C$4:$C$15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2" customWidth="1" min="1" max="1"/>
    <col width="22" customWidth="1" min="2" max="2"/>
    <col width="8" customWidth="1" min="3" max="3"/>
    <col width="16" customWidth="1" min="4" max="4"/>
    <col width="18" customWidth="1" min="5" max="5"/>
    <col width="14" customWidth="1" min="6" max="6"/>
  </cols>
  <sheetData>
    <row r="1">
      <c r="A1" s="1" t="inlineStr">
        <is>
          <t>2026 Yılı Aylık Satış Raporu</t>
        </is>
      </c>
    </row>
    <row r="3">
      <c r="A3" s="2" t="inlineStr">
        <is>
          <t>Ay</t>
        </is>
      </c>
      <c r="B3" s="2" t="inlineStr">
        <is>
          <t>Ürün</t>
        </is>
      </c>
      <c r="C3" s="2" t="inlineStr">
        <is>
          <t>Adet</t>
        </is>
      </c>
      <c r="D3" s="2" t="inlineStr">
        <is>
          <t>Birim Fiyat</t>
        </is>
      </c>
      <c r="E3" s="2" t="inlineStr">
        <is>
          <t>Tutar</t>
        </is>
      </c>
      <c r="F3" s="2" t="inlineStr">
        <is>
          <t>Tarih</t>
        </is>
      </c>
    </row>
    <row r="4">
      <c r="A4" s="3" t="inlineStr">
        <is>
          <t>Ocak</t>
        </is>
      </c>
      <c r="B4" s="3" t="inlineStr">
        <is>
          <t>Tarayıcı fi-6130</t>
        </is>
      </c>
      <c r="C4" s="3" t="n">
        <v>12</v>
      </c>
      <c r="D4" s="4" t="n">
        <v>18499.9</v>
      </c>
      <c r="E4" s="4">
        <f>C4*D4</f>
        <v/>
      </c>
      <c r="F4" s="5" t="n">
        <v>46037</v>
      </c>
    </row>
    <row r="5">
      <c r="A5" s="3" t="inlineStr">
        <is>
          <t>Şubat</t>
        </is>
      </c>
      <c r="B5" s="3" t="inlineStr">
        <is>
          <t>Tarayıcı fi-6140</t>
        </is>
      </c>
      <c r="C5" s="3" t="n">
        <v>15</v>
      </c>
      <c r="D5" s="4" t="n">
        <v>18749.9</v>
      </c>
      <c r="E5" s="4">
        <f>C5*D5</f>
        <v/>
      </c>
      <c r="F5" s="5" t="n">
        <v>46068</v>
      </c>
    </row>
    <row r="6">
      <c r="A6" s="3" t="inlineStr">
        <is>
          <t>Mart</t>
        </is>
      </c>
      <c r="B6" s="3" t="inlineStr">
        <is>
          <t>Tarayıcı fi-6150</t>
        </is>
      </c>
      <c r="C6" s="3" t="n">
        <v>18</v>
      </c>
      <c r="D6" s="4" t="n">
        <v>18999.9</v>
      </c>
      <c r="E6" s="4">
        <f>C6*D6</f>
        <v/>
      </c>
      <c r="F6" s="5" t="n">
        <v>46096</v>
      </c>
    </row>
    <row r="7">
      <c r="A7" s="3" t="inlineStr">
        <is>
          <t>Nisan</t>
        </is>
      </c>
      <c r="B7" s="3" t="inlineStr">
        <is>
          <t>Tarayıcı fi-6160</t>
        </is>
      </c>
      <c r="C7" s="3" t="n">
        <v>21</v>
      </c>
      <c r="D7" s="4" t="n">
        <v>19249.9</v>
      </c>
      <c r="E7" s="4">
        <f>C7*D7</f>
        <v/>
      </c>
      <c r="F7" s="5" t="n">
        <v>46127</v>
      </c>
    </row>
    <row r="8">
      <c r="A8" s="3" t="inlineStr">
        <is>
          <t>Mayıs</t>
        </is>
      </c>
      <c r="B8" s="3" t="inlineStr">
        <is>
          <t>Tarayıcı fi-6170</t>
        </is>
      </c>
      <c r="C8" s="3" t="n">
        <v>24</v>
      </c>
      <c r="D8" s="4" t="n">
        <v>19499.9</v>
      </c>
      <c r="E8" s="4">
        <f>C8*D8</f>
        <v/>
      </c>
      <c r="F8" s="5" t="n">
        <v>46157</v>
      </c>
    </row>
    <row r="9">
      <c r="A9" s="3" t="inlineStr">
        <is>
          <t>Haziran</t>
        </is>
      </c>
      <c r="B9" s="3" t="inlineStr">
        <is>
          <t>Tarayıcı fi-6180</t>
        </is>
      </c>
      <c r="C9" s="3" t="n">
        <v>27</v>
      </c>
      <c r="D9" s="4" t="n">
        <v>19749.9</v>
      </c>
      <c r="E9" s="4">
        <f>C9*D9</f>
        <v/>
      </c>
      <c r="F9" s="5" t="n">
        <v>46188</v>
      </c>
    </row>
    <row r="10">
      <c r="A10" s="3" t="inlineStr">
        <is>
          <t>Temmuz</t>
        </is>
      </c>
      <c r="B10" s="3" t="inlineStr">
        <is>
          <t>Tarayıcı fi-6190</t>
        </is>
      </c>
      <c r="C10" s="3" t="n">
        <v>30</v>
      </c>
      <c r="D10" s="4" t="n">
        <v>19999.9</v>
      </c>
      <c r="E10" s="4">
        <f>C10*D10</f>
        <v/>
      </c>
      <c r="F10" s="5" t="n">
        <v>46218</v>
      </c>
    </row>
    <row r="11">
      <c r="A11" s="3" t="inlineStr">
        <is>
          <t>Ağustos</t>
        </is>
      </c>
      <c r="B11" s="3" t="inlineStr">
        <is>
          <t>Tarayıcı fi-6200</t>
        </is>
      </c>
      <c r="C11" s="3" t="n">
        <v>33</v>
      </c>
      <c r="D11" s="4" t="n">
        <v>20249.9</v>
      </c>
      <c r="E11" s="4">
        <f>C11*D11</f>
        <v/>
      </c>
      <c r="F11" s="5" t="n">
        <v>46249</v>
      </c>
    </row>
    <row r="12">
      <c r="A12" s="3" t="inlineStr">
        <is>
          <t>Eylül</t>
        </is>
      </c>
      <c r="B12" s="3" t="inlineStr">
        <is>
          <t>Tarayıcı fi-6210</t>
        </is>
      </c>
      <c r="C12" s="3" t="n">
        <v>36</v>
      </c>
      <c r="D12" s="4" t="n">
        <v>20499.9</v>
      </c>
      <c r="E12" s="4">
        <f>C12*D12</f>
        <v/>
      </c>
      <c r="F12" s="5" t="n">
        <v>46280</v>
      </c>
    </row>
    <row r="13">
      <c r="A13" s="3" t="inlineStr">
        <is>
          <t>Ekim</t>
        </is>
      </c>
      <c r="B13" s="3" t="inlineStr">
        <is>
          <t>Tarayıcı fi-6220</t>
        </is>
      </c>
      <c r="C13" s="3" t="n">
        <v>39</v>
      </c>
      <c r="D13" s="4" t="n">
        <v>20749.9</v>
      </c>
      <c r="E13" s="4">
        <f>C13*D13</f>
        <v/>
      </c>
      <c r="F13" s="5" t="n">
        <v>46310</v>
      </c>
    </row>
    <row r="14">
      <c r="A14" s="3" t="inlineStr">
        <is>
          <t>Kasım</t>
        </is>
      </c>
      <c r="B14" s="3" t="inlineStr">
        <is>
          <t>Tarayıcı fi-6230</t>
        </is>
      </c>
      <c r="C14" s="3" t="n">
        <v>42</v>
      </c>
      <c r="D14" s="4" t="n">
        <v>20999.9</v>
      </c>
      <c r="E14" s="4">
        <f>C14*D14</f>
        <v/>
      </c>
      <c r="F14" s="5" t="n">
        <v>46341</v>
      </c>
    </row>
    <row r="15">
      <c r="A15" s="3" t="inlineStr">
        <is>
          <t>Aralık</t>
        </is>
      </c>
      <c r="B15" s="3" t="inlineStr">
        <is>
          <t>Tarayıcı fi-6240</t>
        </is>
      </c>
      <c r="C15" s="3" t="n">
        <v>45</v>
      </c>
      <c r="D15" s="4" t="n">
        <v>21249.9</v>
      </c>
      <c r="E15" s="4">
        <f>C15*D15</f>
        <v/>
      </c>
      <c r="F15" s="5" t="n">
        <v>46371</v>
      </c>
    </row>
    <row r="16">
      <c r="B16" s="6" t="inlineStr">
        <is>
          <t>Toplam</t>
        </is>
      </c>
      <c r="C16">
        <f>SUM(C4:C15)</f>
        <v/>
      </c>
      <c r="E16" s="7">
        <f>SUM(E4:E15)</f>
        <v/>
      </c>
    </row>
  </sheetData>
  <mergeCells count="1">
    <mergeCell ref="A1:F1"/>
  </mergeCells>
  <pageMargins left="0.75" right="0.75" top="1" bottom="1" header="0.5" footer="0.5"/>
  <pageSetup orientation="landscape"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90" customWidth="1" min="1" max="1"/>
  </cols>
  <sheetData>
    <row r="1">
      <c r="A1" t="inlineStr">
        <is>
          <t>Bu sayfa ikinci çalışma sayfasıdır.</t>
        </is>
      </c>
    </row>
    <row r="2" ht="80" customHeight="1">
      <c r="A2" s="8" t="inlineStr">
        <is>
          <t>İşbu sözleşme, taraflar arasında karşılıklı görüşmeler sonucunda özgür iradeleriyle düzenlenmiş olup yükümlülükler, ödeme koşulları ve teslim süreleri aşağıdaki maddelerde ayrıntılı biçimde açıklanmıştır. Şirket, çözüm ortağı olarak ürünün güncel sürümünü eksiksiz teslim etmeyi; müşteri ise ödemeyi kararlaştırılan tarihte yapmayı kabul, beyan ve taahhüt eder. Türkçe karakter sınaması: ığüşöç İĞÜŞÖÇ.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2026-10-11T09:48:01Z</dcterms:created>
  <dcterms:modified xmlns:dcterms="http://purl.org/dc/terms/" xmlns:xsi="http://www.w3.org/2001/XMLSchema-instance" xsi:type="dcterms:W3CDTF">2026-10-11T09:48:01Z</dcterms:modified>
</cp:coreProperties>
</file>